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nskih.ae\Desktop\CSI\"/>
    </mc:Choice>
  </mc:AlternateContent>
  <bookViews>
    <workbookView xWindow="0" yWindow="0" windowWidth="19180" windowHeight="5890" tabRatio="212"/>
  </bookViews>
  <sheets>
    <sheet name="0" sheetId="1" r:id="rId1"/>
    <sheet name="Расчет_пример" sheetId="2" r:id="rId2"/>
  </sheets>
  <calcPr calcId="162913"/>
</workbook>
</file>

<file path=xl/calcChain.xml><?xml version="1.0" encoding="utf-8"?>
<calcChain xmlns="http://schemas.openxmlformats.org/spreadsheetml/2006/main">
  <c r="D91" i="1" l="1"/>
  <c r="D92" i="1"/>
  <c r="D93" i="1"/>
  <c r="D94" i="1"/>
  <c r="D95" i="1"/>
  <c r="D96" i="1"/>
  <c r="D90" i="1"/>
  <c r="D89" i="1"/>
  <c r="D88" i="1"/>
  <c r="D87" i="1"/>
  <c r="D86" i="1"/>
  <c r="D85" i="1"/>
  <c r="D79" i="1" l="1"/>
  <c r="D80" i="1"/>
  <c r="D78" i="1"/>
  <c r="D77" i="1"/>
  <c r="D76" i="1"/>
  <c r="D75" i="1"/>
  <c r="D45" i="1" l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24" i="1"/>
  <c r="D33" i="1" l="1"/>
  <c r="D32" i="1"/>
  <c r="D31" i="1"/>
  <c r="D30" i="1"/>
  <c r="D29" i="1"/>
  <c r="D14" i="1"/>
  <c r="D44" i="1"/>
  <c r="D43" i="1"/>
  <c r="D42" i="1"/>
  <c r="D41" i="1"/>
  <c r="D40" i="1"/>
  <c r="D39" i="1"/>
  <c r="D38" i="1"/>
  <c r="D28" i="1"/>
  <c r="D27" i="1"/>
  <c r="D26" i="1"/>
  <c r="D25" i="1"/>
  <c r="D23" i="1"/>
  <c r="D22" i="1"/>
  <c r="D17" i="1"/>
  <c r="D16" i="1"/>
  <c r="D15" i="1"/>
  <c r="E22" i="2" l="1"/>
  <c r="E21" i="2"/>
  <c r="E20" i="2"/>
  <c r="E19" i="2"/>
  <c r="E18" i="2"/>
  <c r="E17" i="2"/>
  <c r="E16" i="2"/>
  <c r="E15" i="2"/>
  <c r="J8" i="2"/>
  <c r="L8" i="2"/>
  <c r="N8" i="2"/>
  <c r="P8" i="2"/>
  <c r="R8" i="2"/>
  <c r="T8" i="2"/>
  <c r="V8" i="2"/>
  <c r="X8" i="2"/>
  <c r="Z8" i="2"/>
  <c r="AB8" i="2"/>
  <c r="AD8" i="2"/>
  <c r="D8" i="2"/>
  <c r="E8" i="2"/>
  <c r="F8" i="2"/>
  <c r="G8" i="2"/>
  <c r="B8" i="2"/>
  <c r="C8" i="2"/>
  <c r="A8" i="2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<sst xmlns="http://schemas.openxmlformats.org/spreadsheetml/2006/main" count="178" uniqueCount="128">
  <si>
    <t>Как вы оцениваете качество/достоверность предоставляемых результатов?   </t>
  </si>
  <si>
    <t>Как вы оцениваете время выполнения сервисных услуг?   </t>
  </si>
  <si>
    <t>Как вы оцениваете консультации по профильным (профессиональным) вопросам?     </t>
  </si>
  <si>
    <t>Как вы оцениваете качество взаимодействия (телефон, e-mail, лично)?   </t>
  </si>
  <si>
    <t>Как вы оцениваете понятность/полезность выдаваемой интерпретации или отчетов?   </t>
  </si>
  <si>
    <t>Как вы оцениваете объем оказываемых услуг (оснащенность)?   </t>
  </si>
  <si>
    <t>Какая в целом ваша оценка работы подразделения?   </t>
  </si>
  <si>
    <t>Какие методы/виды исследований вам хотелось бы получать?   </t>
  </si>
  <si>
    <t>Что мы можем сделать, чтобы стать лучше?   </t>
  </si>
  <si>
    <t>Оцените работу Анисимова Станислава Сергеевича</t>
  </si>
  <si>
    <t>Оцените работу Анисимова Станислава Сергеевича    [Комментарий]</t>
  </si>
  <si>
    <t>Оцените работу Артамонова Ивана Владимировича</t>
  </si>
  <si>
    <t>Оцените работу Артамонова Ивана Владимировича    [Комментарий]</t>
  </si>
  <si>
    <t>Оцените работу Афонина Михаила Борисовича</t>
  </si>
  <si>
    <t>Оцените работу Афонина Михаила Борисовича    [Комментарий]</t>
  </si>
  <si>
    <t>Оцените работу Бердинских Евгения Сергеевича</t>
  </si>
  <si>
    <t>Оцените работу Бердинских Евгения Сергеевича    [Комментарий]</t>
  </si>
  <si>
    <t>Оцените работу Винальева Андрея Александровича</t>
  </si>
  <si>
    <t>Оцените работу Винальева Андрея Александровича    [Комментарий]</t>
  </si>
  <si>
    <t>Оцените работу Головина Евгения Валерьевича</t>
  </si>
  <si>
    <t>Оцените работу Головина Евгения Валерьевича    [Комментарий]</t>
  </si>
  <si>
    <t>Оцените работу Голубковой Елены Александровны</t>
  </si>
  <si>
    <t>Оцените работу Голубковой Елены Александровны  [Комментарий]</t>
  </si>
  <si>
    <t>Оцените работу Кривич Татьяны Евгеньевны   </t>
  </si>
  <si>
    <t>Оцените работу Кривич Татьяны Евгеньевны     [Комментарий]</t>
  </si>
  <si>
    <t>Оцените работу Месонжник Натальи Владимировны</t>
  </si>
  <si>
    <t>Оцените работу Месонжник Натальи Владимировны    [Комментарий]</t>
  </si>
  <si>
    <t>Оцените работу Новиковой Екатерины Сергеевны</t>
  </si>
  <si>
    <t>Оцените работу Новиковой Екатерины Сергеевны    [Комментарий]</t>
  </si>
  <si>
    <t>Оцените работу Рычковой Екатерины Владиславовны</t>
  </si>
  <si>
    <t>Оцените работу Рычковой Екатерины Владиславовны    [Комментарий]</t>
  </si>
  <si>
    <t>Соответствует ожиданиям</t>
  </si>
  <si>
    <t>Выше ожиданий</t>
  </si>
  <si>
    <t>Превосходит все ожидания</t>
  </si>
  <si>
    <t>Частично ниже ожиданий</t>
  </si>
  <si>
    <t>Исследования над сотрудниками, не пришедшими испытательный срок и что-то ещё хотящими от Университета</t>
  </si>
  <si>
    <t>Ниже ожиданий</t>
  </si>
  <si>
    <t>Не соответствует ожиданиям</t>
  </si>
  <si>
    <t>тест</t>
  </si>
  <si>
    <t>Значительно ниже ожиданий</t>
  </si>
  <si>
    <t>N п\п</t>
  </si>
  <si>
    <t>Вопрос</t>
  </si>
  <si>
    <t>оценка</t>
  </si>
  <si>
    <t>Вес</t>
  </si>
  <si>
    <t>оценка с учетом веса, %</t>
  </si>
  <si>
    <t>Качество взаимодействия (телефон, e-mail, лично)</t>
  </si>
  <si>
    <t>Понятность/полезность выдаваемой интерпретации или отчетов</t>
  </si>
  <si>
    <t>Достоверность выдаваемых результатов</t>
  </si>
  <si>
    <t>Время выполнения сервисных услуг</t>
  </si>
  <si>
    <t>Консультации по профильным (профессиональным) вопросам?</t>
  </si>
  <si>
    <t>Какая в целом Ваша оценка работы подразделения?</t>
  </si>
  <si>
    <t xml:space="preserve"> Объем оказываемых услуг (оснащенность)?   </t>
  </si>
  <si>
    <t>-</t>
  </si>
  <si>
    <t>Оценка</t>
  </si>
  <si>
    <t>Не взаимодействовал(-а)</t>
  </si>
  <si>
    <t>Ресурсные центры</t>
  </si>
  <si>
    <t>Какая в целом ваша оценка работы подразделения?</t>
  </si>
  <si>
    <t>Как вы оцениваете проведение пуско-наладочных работ? [Качество]</t>
  </si>
  <si>
    <t>Как вы оцениваете проведение пуско-наладочных работ? [Сроки]</t>
  </si>
  <si>
    <t>Как вы оцениваете проведение планового технического обслуживания оборудования? [Качество]</t>
  </si>
  <si>
    <t>Как вы оцениваете проведение ремонта оборудования? [Качество]</t>
  </si>
  <si>
    <t>Как вы оцениваете проведение планового технического обслуживания оборудования? [Сроки]</t>
  </si>
  <si>
    <t>Как вы оцениваете проведение ремонта оборудования? [Сроки]</t>
  </si>
  <si>
    <t>Как вы оцениваете метрологическое обеспечение оборудования (поверка, аттестация)? [Качество]</t>
  </si>
  <si>
    <t>Как вы оцениваете метрологическое обеспечение оборудования (поверка, аттестация)? [Сроки]</t>
  </si>
  <si>
    <t>Как вы оцениваете снабжение медицинскими газами и криожидкостями? [Качество]</t>
  </si>
  <si>
    <t>Как вы оцениваете снабжение медицинскими газами и криожидкостями?  [Сроки]</t>
  </si>
  <si>
    <t xml:space="preserve">Какая в целом ваша оценка работы подразделения?  </t>
  </si>
  <si>
    <t xml:space="preserve">Как вы оцениваете работу группы лаборантов-координаторов?  </t>
  </si>
  <si>
    <t>Как вы оцениваете доставку ТМЦ со складов НТУ и ЛК?     [Простота и удобство использования сервиса]</t>
  </si>
  <si>
    <t>Как вы оцениваете доставку ТМЦ со складов НТУ и ЛК?     [Скорость доставки]</t>
  </si>
  <si>
    <t>ЕН</t>
  </si>
  <si>
    <t xml:space="preserve">ИТО </t>
  </si>
  <si>
    <t>Как вы оцениваете информационную систему подачи заявок ServiceDesk "Сервис лабораторного оборудования" для обращений в инженерно-технический отдел?</t>
  </si>
  <si>
    <t>Как вы оцениваете сервис обработки и технического заведения вашей заявки на обеспечение в 1С:УХ?     [Простота и удобство при подаче заявки на обеспечение]</t>
  </si>
  <si>
    <t>Как вы оцениваете сервис обработки и технического заведения вашей заявки на обеспечение в 1С:УХ?     [Корректность при уточнении параметров заявки специалистом]</t>
  </si>
  <si>
    <t>Как вы оцениваете сервис обработки и технического заведения вашей заявки на обеспечение в 1С:УХ?     [Скорость заведения заявок в 1С:УХ специалистами лабораторного обеспечения]</t>
  </si>
  <si>
    <t>Как вы оцениваете доставку ТМЦ со складов НТУ и ЛК?     [Информирование о поступлении ТМЦ на склад]</t>
  </si>
  <si>
    <t>Как вы оцениваете удобство работы с реестрами?     [Реестр реактивов и материалов]</t>
  </si>
  <si>
    <t>Как вы оцениваете удобство работы с реестрами?     [Реестр оборудования]</t>
  </si>
  <si>
    <t>Как вы оцениваете удобство работы с реестрами?     [Реестр склада ЛВЖ]</t>
  </si>
  <si>
    <t>ОЛП</t>
  </si>
  <si>
    <t>Как вы оцениваете работу группы общелабораторного сервиса?   </t>
  </si>
  <si>
    <t>Как вы оцениваете лабораторную уборку, которую проводят лаборанты ЛК?     [Качество ежедневной лабораторной уборки]</t>
  </si>
  <si>
    <t>Как вы оцениваете лабораторную уборку, которую проводят лаборанты ЛК?     [Периодичность лабораторной уборки]</t>
  </si>
  <si>
    <t>Как вы оцениваете лабораторную уборку, которую проводят лаборанты ЛК?     [Качество генеральной лабораторной уборки помещений]</t>
  </si>
  <si>
    <t>Как вы оцениваете лабораторную уборку, которую проводят лаборанты ЛК?     [Качество генеральной лабораторной уборки оборудования]</t>
  </si>
  <si>
    <t>Как вы оцениваете лабораторную уборку, которую проводят лаборанты ЛК?     [Срок и качество реализации  лабораторной уборки по требованию]</t>
  </si>
  <si>
    <t>Как вы оцениваете сервис стерилизации и мытья посуды?     [Сроки и качество стерилизации]</t>
  </si>
  <si>
    <t>Как вы оцениваете сервис стерилизации и мытья посуды?     [Сроки и качество мытья посуды]</t>
  </si>
  <si>
    <t>Как вы оцениваете сервис обеспечения СИЗ (средства индивидуальной защиты)?     [Выдача. Удобство сервиса и время выдачи]</t>
  </si>
  <si>
    <t>Как вы оцениваете сервис обеспечения СИЗ (средства индивидуальной защиты)?     [Характеристики. Качество выдаваемых СИЗ, номенклатурный и размерный ряды]</t>
  </si>
  <si>
    <t>Как вы оцениваете сервис обеспечения СИЗ (средства индивидуальной защиты)?     [Стирка. Качество и скорость стирки]</t>
  </si>
  <si>
    <t>Как вы оцениваете сервис обеспечения СИЗ (средства индивидуальной защиты)?     [Стирка. Удобство сдачи и получения СИЗ]</t>
  </si>
  <si>
    <t>Как вы оцениваете работу группы содержания лабораторных помещений (группы клининга)?   </t>
  </si>
  <si>
    <t>Как вы оцениваете лабораторную уборку, которую проводят уборщики общественных территорий?     [Качество рутинной (ежедневной) уборки]</t>
  </si>
  <si>
    <t>Как вы оцениваете лабораторную уборку, которую проводят уборщики общественных территорий?     [Периодичность уборки]</t>
  </si>
  <si>
    <t>Как вы оцениваете лабораторную уборку, которую проводят уборщики общественных территорий?     [Качество генеральной уборки]</t>
  </si>
  <si>
    <t>Как вы оцениваете лабораторную уборку, которую проводят уборщики общественных территорий?     [Срок реализации уборки по требованию]</t>
  </si>
  <si>
    <t>Как вы оцениваете лабораторную уборку, которую проводят уборщики общественных территорий?     [Взаимодействие с уборщиками]</t>
  </si>
  <si>
    <t>Как вы оцениваете работу администратора ЛК?     [Скорость ответа на запрос в чате "Большой ЛК" либо при обращении по телефону]</t>
  </si>
  <si>
    <t>Как вы оцениваете работу администратора ЛК?     [Информирование о статусе поданной заявки]</t>
  </si>
  <si>
    <t>Как вы оцениваете работу администратора ЛК?     [Контроль санитарно-эпидемиологического режима "заразной" зоны]</t>
  </si>
  <si>
    <t>Как вы оцениваете работу администратора ЛК?     [Обеспечение обеззараживания помещений ЛК УФ-облучением]</t>
  </si>
  <si>
    <t>Как вы оцениваете работу администратора ЛК?     [Взаимодействие с администраторами]</t>
  </si>
  <si>
    <t>Контрактные услуги</t>
  </si>
  <si>
    <t>Соответствует ли результат проведения работ/услуг по договору вашим ожиданиям?   </t>
  </si>
  <si>
    <t>Соответствует ли срок проведения работ/услуг по договору вашим ожиданиям?   </t>
  </si>
  <si>
    <t>Соответствует ли стоимость работ/услуг по договору вашим ожиданиям?   </t>
  </si>
  <si>
    <t>Как вы оцениваете качество административной поддержки по договору?   </t>
  </si>
  <si>
    <t>Соответствует ли срок согласования договора ожидаемому?   </t>
  </si>
  <si>
    <t>Соответствует ли уровень компетенций специалистов-исследователей ожидаемому?   </t>
  </si>
  <si>
    <t>Как вы оцениваете время выполнения запросов?   </t>
  </si>
  <si>
    <t>Как вы оцениваете оснащенность предоставленной зоны?   </t>
  </si>
  <si>
    <t>Как вы оцениваете качество взаимодействия (телефон, e-mail, лично) и консультаций по работе?   </t>
  </si>
  <si>
    <t>ДПО</t>
  </si>
  <si>
    <t>Соответствует ли программа образовательного модуля вашим ожиданиям?   </t>
  </si>
  <si>
    <t>Соответствует ли уровень компетенций преподавателей программы ожидаемому?   </t>
  </si>
  <si>
    <t>Оцените программу курса по критериям     [Полезность информации]</t>
  </si>
  <si>
    <t>Оцените программу курса по критериям     [Сложность программы]</t>
  </si>
  <si>
    <t>Оцените программу курса по критериям     [Доступность изложения материала]</t>
  </si>
  <si>
    <t>Оцените программу курса по критериям     [Соотношение теории и практики]</t>
  </si>
  <si>
    <t>Оцените программу курса по критериям     [Полезность практических занятий]</t>
  </si>
  <si>
    <t>Оцените программу курса по критериям     [Полнота и доступность ответов на вопросы аудитории]</t>
  </si>
  <si>
    <t>Оцените организационное сопровождение программы     [Информационное сопровождение до начала и в течение программы организаторами]</t>
  </si>
  <si>
    <t>Оцените организационное сопровождение программы     [Материально-техническое обеспечение]</t>
  </si>
  <si>
    <t>Оцените организационное сопровождение программы     [Проживание]</t>
  </si>
  <si>
    <t>Оцените организационное сопровождение программы     [Питание]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</si>
</sst>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0"/>
      <name val="Arial"/>
      <family val="2"/>
      <charset val="1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name val="Arial"/>
      <family val="2"/>
      <charset val="204"/>
    </font>
    <font>
      <sz val="9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8">
    <xf numFmtId="0" fontId="0" fillId="0" borderId="0" xfId="0" applyFont="1"/>
    <xf numFmtId="0" fontId="0" fillId="0" borderId="0" xfId="0" applyFont="1" applyAlignment="1">
      <alignment wrapText="1"/>
    </xf>
    <xf numFmtId="0" fontId="0" fillId="2" borderId="1" xfId="0" applyFont="1" applyFill="1" applyBorder="1" applyAlignment="1">
      <alignment wrapText="1"/>
    </xf>
    <xf numFmtId="0" fontId="0" fillId="4" borderId="1" xfId="0" applyFont="1" applyFill="1" applyBorder="1" applyAlignment="1">
      <alignment wrapText="1"/>
    </xf>
    <xf numFmtId="0" fontId="1" fillId="0" borderId="1" xfId="1" applyBorder="1" applyAlignment="1">
      <alignment horizontal="left" vertical="center"/>
    </xf>
    <xf numFmtId="0" fontId="0" fillId="3" borderId="1" xfId="0" applyFont="1" applyFill="1" applyBorder="1" applyAlignment="1">
      <alignment wrapText="1"/>
    </xf>
    <xf numFmtId="2" fontId="0" fillId="0" borderId="0" xfId="0" applyNumberFormat="1" applyFont="1" applyAlignment="1">
      <alignment wrapText="1"/>
    </xf>
    <xf numFmtId="0" fontId="0" fillId="2" borderId="1" xfId="0" applyNumberFormat="1" applyFont="1" applyFill="1" applyBorder="1" applyAlignment="1">
      <alignment wrapText="1"/>
    </xf>
    <xf numFmtId="0" fontId="0" fillId="3" borderId="1" xfId="0" applyNumberFormat="1" applyFont="1" applyFill="1" applyBorder="1" applyAlignment="1">
      <alignment wrapText="1"/>
    </xf>
    <xf numFmtId="0" fontId="0" fillId="4" borderId="1" xfId="0" applyNumberFormat="1" applyFont="1" applyFill="1" applyBorder="1" applyAlignment="1">
      <alignment wrapText="1"/>
    </xf>
    <xf numFmtId="164" fontId="0" fillId="0" borderId="0" xfId="0" applyNumberFormat="1" applyFont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1" applyFont="1" applyBorder="1" applyAlignment="1">
      <alignment horizontal="left" vertical="center" wrapText="1"/>
    </xf>
    <xf numFmtId="9" fontId="1" fillId="0" borderId="1" xfId="1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wrapText="1"/>
    </xf>
    <xf numFmtId="9" fontId="4" fillId="0" borderId="1" xfId="1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2" applyFont="1" applyBorder="1" applyAlignment="1">
      <alignment horizontal="left" wrapText="1"/>
    </xf>
    <xf numFmtId="0" fontId="4" fillId="0" borderId="1" xfId="1" applyFont="1" applyBorder="1" applyAlignment="1">
      <alignment horizontal="left" vertical="center" wrapText="1"/>
    </xf>
    <xf numFmtId="9" fontId="4" fillId="0" borderId="1" xfId="1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9" fontId="4" fillId="7" borderId="1" xfId="1" applyNumberFormat="1" applyFont="1" applyFill="1" applyBorder="1" applyAlignment="1">
      <alignment horizontal="left" vertical="center" wrapText="1"/>
    </xf>
    <xf numFmtId="164" fontId="5" fillId="7" borderId="1" xfId="0" applyNumberFormat="1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wrapText="1"/>
    </xf>
    <xf numFmtId="0" fontId="4" fillId="6" borderId="1" xfId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4" fillId="7" borderId="1" xfId="1" applyFont="1" applyFill="1" applyBorder="1" applyAlignment="1">
      <alignment horizontal="left" vertical="center" wrapText="1"/>
    </xf>
    <xf numFmtId="0" fontId="4" fillId="8" borderId="1" xfId="1" applyFont="1" applyFill="1" applyBorder="1" applyAlignment="1">
      <alignment horizontal="left" vertical="center" wrapText="1"/>
    </xf>
    <xf numFmtId="9" fontId="4" fillId="8" borderId="1" xfId="1" applyNumberFormat="1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164" fontId="5" fillId="8" borderId="1" xfId="0" applyNumberFormat="1" applyFont="1" applyFill="1" applyBorder="1" applyAlignment="1">
      <alignment horizontal="left"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6"/>
  <sheetViews>
    <sheetView tabSelected="1" zoomScaleNormal="100" workbookViewId="0">
      <selection activeCell="C33" sqref="C22:C33"/>
    </sheetView>
  </sheetViews>
  <sheetFormatPr defaultRowHeight="12.5" x14ac:dyDescent="0.25"/>
  <cols>
    <col min="1" max="1" width="52.453125" style="20" customWidth="1"/>
    <col min="2" max="2" width="8.7265625" style="20" customWidth="1"/>
    <col min="3" max="4" width="11.453125" style="20"/>
    <col min="5" max="5" width="2.453125" style="1" customWidth="1"/>
    <col min="6" max="14" width="11.453125" style="1"/>
    <col min="15" max="15" width="8.7265625" style="1"/>
    <col min="16" max="16" width="11.453125" style="1"/>
    <col min="17" max="17" width="8.7265625" style="1"/>
    <col min="18" max="18" width="11.453125" style="1"/>
    <col min="19" max="19" width="8.7265625" style="1"/>
    <col min="20" max="20" width="11.453125" style="1"/>
    <col min="21" max="21" width="8.7265625" style="1"/>
    <col min="22" max="22" width="11.453125" style="1"/>
    <col min="23" max="23" width="8.7265625" style="1"/>
    <col min="24" max="24" width="11.453125" style="1"/>
    <col min="25" max="25" width="8.7265625" style="1"/>
    <col min="26" max="26" width="11.453125" style="1"/>
    <col min="27" max="27" width="8.7265625" style="1"/>
    <col min="28" max="28" width="11.453125" style="1"/>
    <col min="29" max="29" width="8.7265625" style="1"/>
    <col min="30" max="32" width="11.453125" style="1"/>
    <col min="33" max="1014" width="11.453125"/>
  </cols>
  <sheetData>
    <row r="1" spans="1:13" ht="12.5" customHeight="1" x14ac:dyDescent="0.25">
      <c r="A1" s="30" t="s">
        <v>55</v>
      </c>
      <c r="B1" s="30"/>
      <c r="C1" s="30"/>
      <c r="D1" s="30"/>
    </row>
    <row r="2" spans="1:13" ht="34.5" x14ac:dyDescent="0.25">
      <c r="A2" s="31" t="s">
        <v>41</v>
      </c>
      <c r="B2" s="31" t="s">
        <v>42</v>
      </c>
      <c r="C2" s="32" t="s">
        <v>43</v>
      </c>
      <c r="D2" s="26" t="s">
        <v>44</v>
      </c>
      <c r="F2" s="16" t="s">
        <v>37</v>
      </c>
      <c r="G2" s="16" t="s">
        <v>39</v>
      </c>
      <c r="H2" s="16" t="s">
        <v>36</v>
      </c>
      <c r="I2" s="17" t="s">
        <v>34</v>
      </c>
      <c r="J2" s="18" t="s">
        <v>31</v>
      </c>
      <c r="K2" s="16" t="s">
        <v>32</v>
      </c>
      <c r="L2" s="16" t="s">
        <v>33</v>
      </c>
      <c r="M2" s="19" t="s">
        <v>54</v>
      </c>
    </row>
    <row r="3" spans="1:13" s="1" customFormat="1" ht="23" x14ac:dyDescent="0.25">
      <c r="A3" s="23" t="s">
        <v>0</v>
      </c>
      <c r="B3" s="24"/>
      <c r="C3" s="21">
        <v>25</v>
      </c>
      <c r="D3" s="25">
        <f t="shared" ref="D3:D9" si="0">C3*B3/100%</f>
        <v>0</v>
      </c>
      <c r="F3" s="22">
        <v>0</v>
      </c>
      <c r="G3" s="22">
        <v>50</v>
      </c>
      <c r="H3" s="22">
        <v>75</v>
      </c>
      <c r="I3" s="22">
        <v>90</v>
      </c>
      <c r="J3" s="22">
        <v>100</v>
      </c>
      <c r="K3" s="22">
        <v>125</v>
      </c>
      <c r="L3" s="22">
        <v>150</v>
      </c>
      <c r="M3" s="19" t="s">
        <v>52</v>
      </c>
    </row>
    <row r="4" spans="1:13" s="1" customFormat="1" x14ac:dyDescent="0.25">
      <c r="A4" s="23" t="s">
        <v>1</v>
      </c>
      <c r="B4" s="24"/>
      <c r="C4" s="21">
        <v>25</v>
      </c>
      <c r="D4" s="25">
        <f t="shared" si="0"/>
        <v>0</v>
      </c>
    </row>
    <row r="5" spans="1:13" s="1" customFormat="1" ht="23" x14ac:dyDescent="0.25">
      <c r="A5" s="23" t="s">
        <v>2</v>
      </c>
      <c r="B5" s="24"/>
      <c r="C5" s="21">
        <v>10</v>
      </c>
      <c r="D5" s="25">
        <f t="shared" si="0"/>
        <v>0</v>
      </c>
    </row>
    <row r="6" spans="1:13" s="1" customFormat="1" ht="23" x14ac:dyDescent="0.25">
      <c r="A6" s="23" t="s">
        <v>3</v>
      </c>
      <c r="B6" s="24"/>
      <c r="C6" s="21">
        <v>10</v>
      </c>
      <c r="D6" s="25">
        <f t="shared" si="0"/>
        <v>0</v>
      </c>
    </row>
    <row r="7" spans="1:13" s="1" customFormat="1" ht="23" x14ac:dyDescent="0.25">
      <c r="A7" s="23" t="s">
        <v>4</v>
      </c>
      <c r="B7" s="24"/>
      <c r="C7" s="21">
        <v>10</v>
      </c>
      <c r="D7" s="25">
        <f t="shared" si="0"/>
        <v>0</v>
      </c>
    </row>
    <row r="8" spans="1:13" s="1" customFormat="1" x14ac:dyDescent="0.25">
      <c r="A8" s="23" t="s">
        <v>5</v>
      </c>
      <c r="B8" s="24"/>
      <c r="C8" s="21">
        <v>5</v>
      </c>
      <c r="D8" s="25">
        <f t="shared" si="0"/>
        <v>0</v>
      </c>
    </row>
    <row r="9" spans="1:13" s="1" customFormat="1" x14ac:dyDescent="0.25">
      <c r="A9" s="23" t="s">
        <v>6</v>
      </c>
      <c r="B9" s="24"/>
      <c r="C9" s="21">
        <v>15</v>
      </c>
      <c r="D9" s="25">
        <f t="shared" si="0"/>
        <v>0</v>
      </c>
    </row>
    <row r="10" spans="1:13" s="1" customFormat="1" x14ac:dyDescent="0.25">
      <c r="A10" s="20"/>
      <c r="B10" s="20"/>
      <c r="C10" s="20"/>
      <c r="D10" s="20"/>
    </row>
    <row r="11" spans="1:13" s="1" customFormat="1" x14ac:dyDescent="0.25">
      <c r="A11" s="20"/>
      <c r="B11" s="20"/>
      <c r="C11" s="20"/>
      <c r="D11" s="20"/>
    </row>
    <row r="12" spans="1:13" s="1" customFormat="1" x14ac:dyDescent="0.25">
      <c r="A12" s="30" t="s">
        <v>71</v>
      </c>
      <c r="B12" s="30"/>
      <c r="C12" s="30"/>
      <c r="D12" s="30"/>
    </row>
    <row r="13" spans="1:13" ht="34.5" x14ac:dyDescent="0.25">
      <c r="A13" s="31" t="s">
        <v>41</v>
      </c>
      <c r="B13" s="31" t="s">
        <v>42</v>
      </c>
      <c r="C13" s="32" t="s">
        <v>43</v>
      </c>
      <c r="D13" s="26" t="s">
        <v>44</v>
      </c>
    </row>
    <row r="14" spans="1:13" x14ac:dyDescent="0.25">
      <c r="A14" s="23" t="s">
        <v>112</v>
      </c>
      <c r="B14" s="24"/>
      <c r="C14" s="29">
        <v>30</v>
      </c>
      <c r="D14" s="25">
        <f>C14*B14/100%</f>
        <v>0</v>
      </c>
    </row>
    <row r="15" spans="1:13" x14ac:dyDescent="0.25">
      <c r="A15" s="23" t="s">
        <v>113</v>
      </c>
      <c r="B15" s="24"/>
      <c r="C15" s="29">
        <v>20</v>
      </c>
      <c r="D15" s="25">
        <f t="shared" ref="D15:D17" si="1">C15*B15/100%</f>
        <v>0</v>
      </c>
    </row>
    <row r="16" spans="1:13" ht="23" x14ac:dyDescent="0.25">
      <c r="A16" s="23" t="s">
        <v>114</v>
      </c>
      <c r="B16" s="24"/>
      <c r="C16" s="29">
        <v>30</v>
      </c>
      <c r="D16" s="25">
        <f t="shared" si="1"/>
        <v>0</v>
      </c>
    </row>
    <row r="17" spans="1:4" x14ac:dyDescent="0.25">
      <c r="A17" s="23" t="s">
        <v>56</v>
      </c>
      <c r="B17" s="24"/>
      <c r="C17" s="29">
        <v>20</v>
      </c>
      <c r="D17" s="25">
        <f t="shared" si="1"/>
        <v>0</v>
      </c>
    </row>
    <row r="20" spans="1:4" x14ac:dyDescent="0.25">
      <c r="A20" s="30" t="s">
        <v>72</v>
      </c>
      <c r="B20" s="30"/>
      <c r="C20" s="30"/>
      <c r="D20" s="30"/>
    </row>
    <row r="21" spans="1:4" ht="34.5" x14ac:dyDescent="0.25">
      <c r="A21" s="31" t="s">
        <v>41</v>
      </c>
      <c r="B21" s="31" t="s">
        <v>42</v>
      </c>
      <c r="C21" s="32" t="s">
        <v>43</v>
      </c>
      <c r="D21" s="26" t="s">
        <v>44</v>
      </c>
    </row>
    <row r="22" spans="1:4" ht="23" x14ac:dyDescent="0.25">
      <c r="A22" s="33" t="s">
        <v>57</v>
      </c>
      <c r="B22" s="27"/>
      <c r="C22" s="29">
        <v>7.5</v>
      </c>
      <c r="D22" s="28">
        <f t="shared" ref="D22:D28" si="2">C22*B22/100%</f>
        <v>0</v>
      </c>
    </row>
    <row r="23" spans="1:4" x14ac:dyDescent="0.25">
      <c r="A23" s="33" t="s">
        <v>58</v>
      </c>
      <c r="B23" s="27"/>
      <c r="C23" s="29">
        <v>7.5</v>
      </c>
      <c r="D23" s="28">
        <f t="shared" si="2"/>
        <v>0</v>
      </c>
    </row>
    <row r="24" spans="1:4" ht="23" x14ac:dyDescent="0.25">
      <c r="A24" s="33" t="s">
        <v>59</v>
      </c>
      <c r="B24" s="27"/>
      <c r="C24" s="29">
        <v>7.5</v>
      </c>
      <c r="D24" s="28">
        <f>C24*B24/100%</f>
        <v>0</v>
      </c>
    </row>
    <row r="25" spans="1:4" ht="23" x14ac:dyDescent="0.25">
      <c r="A25" s="33" t="s">
        <v>61</v>
      </c>
      <c r="B25" s="27"/>
      <c r="C25" s="29">
        <v>7.5</v>
      </c>
      <c r="D25" s="28">
        <f t="shared" si="2"/>
        <v>0</v>
      </c>
    </row>
    <row r="26" spans="1:4" ht="23" x14ac:dyDescent="0.25">
      <c r="A26" s="33" t="s">
        <v>60</v>
      </c>
      <c r="B26" s="27"/>
      <c r="C26" s="29">
        <v>7.5</v>
      </c>
      <c r="D26" s="28">
        <f t="shared" si="2"/>
        <v>0</v>
      </c>
    </row>
    <row r="27" spans="1:4" x14ac:dyDescent="0.25">
      <c r="A27" s="33" t="s">
        <v>62</v>
      </c>
      <c r="B27" s="27"/>
      <c r="C27" s="29">
        <v>7.5</v>
      </c>
      <c r="D27" s="28">
        <f t="shared" si="2"/>
        <v>0</v>
      </c>
    </row>
    <row r="28" spans="1:4" ht="23" x14ac:dyDescent="0.25">
      <c r="A28" s="33" t="s">
        <v>63</v>
      </c>
      <c r="B28" s="27"/>
      <c r="C28" s="29">
        <v>7.5</v>
      </c>
      <c r="D28" s="28">
        <f t="shared" si="2"/>
        <v>0</v>
      </c>
    </row>
    <row r="29" spans="1:4" ht="23" x14ac:dyDescent="0.25">
      <c r="A29" s="33" t="s">
        <v>64</v>
      </c>
      <c r="B29" s="27"/>
      <c r="C29" s="29">
        <v>7.5</v>
      </c>
      <c r="D29" s="28">
        <f t="shared" ref="D29:D33" si="3">C29*B29/100%</f>
        <v>0</v>
      </c>
    </row>
    <row r="30" spans="1:4" ht="23" x14ac:dyDescent="0.25">
      <c r="A30" s="33" t="s">
        <v>65</v>
      </c>
      <c r="B30" s="27"/>
      <c r="C30" s="29">
        <v>5</v>
      </c>
      <c r="D30" s="28">
        <f t="shared" si="3"/>
        <v>0</v>
      </c>
    </row>
    <row r="31" spans="1:4" ht="23" x14ac:dyDescent="0.25">
      <c r="A31" s="33" t="s">
        <v>66</v>
      </c>
      <c r="B31" s="27"/>
      <c r="C31" s="29">
        <v>5</v>
      </c>
      <c r="D31" s="28">
        <f t="shared" si="3"/>
        <v>0</v>
      </c>
    </row>
    <row r="32" spans="1:4" ht="34.5" x14ac:dyDescent="0.25">
      <c r="A32" s="33" t="s">
        <v>73</v>
      </c>
      <c r="B32" s="24"/>
      <c r="C32" s="29">
        <v>10</v>
      </c>
      <c r="D32" s="25">
        <f t="shared" si="3"/>
        <v>0</v>
      </c>
    </row>
    <row r="33" spans="1:4" x14ac:dyDescent="0.25">
      <c r="A33" s="23" t="s">
        <v>67</v>
      </c>
      <c r="B33" s="24"/>
      <c r="C33" s="29">
        <v>20</v>
      </c>
      <c r="D33" s="25">
        <f t="shared" si="3"/>
        <v>0</v>
      </c>
    </row>
    <row r="36" spans="1:4" x14ac:dyDescent="0.25">
      <c r="A36" s="30" t="s">
        <v>81</v>
      </c>
      <c r="B36" s="30"/>
      <c r="C36" s="30"/>
      <c r="D36" s="30"/>
    </row>
    <row r="37" spans="1:4" ht="34.5" x14ac:dyDescent="0.25">
      <c r="A37" s="31" t="s">
        <v>41</v>
      </c>
      <c r="B37" s="31" t="s">
        <v>42</v>
      </c>
      <c r="C37" s="32" t="s">
        <v>43</v>
      </c>
      <c r="D37" s="26" t="s">
        <v>44</v>
      </c>
    </row>
    <row r="38" spans="1:4" x14ac:dyDescent="0.25">
      <c r="A38" s="34" t="s">
        <v>68</v>
      </c>
      <c r="B38" s="35"/>
      <c r="C38" s="36">
        <v>25</v>
      </c>
      <c r="D38" s="37">
        <f t="shared" ref="D38:D69" si="4">C38*B38/100%</f>
        <v>0</v>
      </c>
    </row>
    <row r="39" spans="1:4" ht="34.5" x14ac:dyDescent="0.25">
      <c r="A39" s="33" t="s">
        <v>74</v>
      </c>
      <c r="B39" s="24"/>
      <c r="C39" s="21">
        <v>10</v>
      </c>
      <c r="D39" s="25">
        <f t="shared" si="4"/>
        <v>0</v>
      </c>
    </row>
    <row r="40" spans="1:4" ht="34.5" x14ac:dyDescent="0.25">
      <c r="A40" s="33" t="s">
        <v>75</v>
      </c>
      <c r="B40" s="24"/>
      <c r="C40" s="21">
        <v>10</v>
      </c>
      <c r="D40" s="25">
        <f t="shared" si="4"/>
        <v>0</v>
      </c>
    </row>
    <row r="41" spans="1:4" ht="34.5" x14ac:dyDescent="0.25">
      <c r="A41" s="33" t="s">
        <v>76</v>
      </c>
      <c r="B41" s="24"/>
      <c r="C41" s="21">
        <v>12</v>
      </c>
      <c r="D41" s="25">
        <f t="shared" si="4"/>
        <v>0</v>
      </c>
    </row>
    <row r="42" spans="1:4" ht="23" x14ac:dyDescent="0.25">
      <c r="A42" s="33" t="s">
        <v>69</v>
      </c>
      <c r="B42" s="24"/>
      <c r="C42" s="21">
        <v>10</v>
      </c>
      <c r="D42" s="25">
        <f t="shared" si="4"/>
        <v>0</v>
      </c>
    </row>
    <row r="43" spans="1:4" ht="23" x14ac:dyDescent="0.25">
      <c r="A43" s="33" t="s">
        <v>70</v>
      </c>
      <c r="B43" s="24"/>
      <c r="C43" s="21">
        <v>5</v>
      </c>
      <c r="D43" s="25">
        <f t="shared" si="4"/>
        <v>0</v>
      </c>
    </row>
    <row r="44" spans="1:4" ht="23" x14ac:dyDescent="0.25">
      <c r="A44" s="33" t="s">
        <v>77</v>
      </c>
      <c r="B44" s="24"/>
      <c r="C44" s="21">
        <v>10</v>
      </c>
      <c r="D44" s="25">
        <f t="shared" si="4"/>
        <v>0</v>
      </c>
    </row>
    <row r="45" spans="1:4" ht="23" x14ac:dyDescent="0.25">
      <c r="A45" s="33" t="s">
        <v>78</v>
      </c>
      <c r="B45" s="24"/>
      <c r="C45" s="21">
        <v>6</v>
      </c>
      <c r="D45" s="25">
        <f t="shared" si="4"/>
        <v>0</v>
      </c>
    </row>
    <row r="46" spans="1:4" ht="23" x14ac:dyDescent="0.25">
      <c r="A46" s="33" t="s">
        <v>79</v>
      </c>
      <c r="B46" s="24"/>
      <c r="C46" s="21">
        <v>6</v>
      </c>
      <c r="D46" s="25">
        <f>C46*B46/100%</f>
        <v>0</v>
      </c>
    </row>
    <row r="47" spans="1:4" ht="23" x14ac:dyDescent="0.25">
      <c r="A47" s="33" t="s">
        <v>80</v>
      </c>
      <c r="B47" s="24"/>
      <c r="C47" s="21">
        <v>6</v>
      </c>
      <c r="D47" s="25">
        <f t="shared" si="4"/>
        <v>0</v>
      </c>
    </row>
    <row r="48" spans="1:4" ht="23" x14ac:dyDescent="0.25">
      <c r="A48" s="34" t="s">
        <v>82</v>
      </c>
      <c r="B48" s="35"/>
      <c r="C48" s="36">
        <v>12</v>
      </c>
      <c r="D48" s="37">
        <f t="shared" si="4"/>
        <v>0</v>
      </c>
    </row>
    <row r="49" spans="1:4" ht="23" x14ac:dyDescent="0.25">
      <c r="A49" s="33" t="s">
        <v>83</v>
      </c>
      <c r="B49" s="27"/>
      <c r="C49" s="29">
        <v>10</v>
      </c>
      <c r="D49" s="28">
        <f t="shared" si="4"/>
        <v>0</v>
      </c>
    </row>
    <row r="50" spans="1:4" ht="23" x14ac:dyDescent="0.25">
      <c r="A50" s="33" t="s">
        <v>84</v>
      </c>
      <c r="B50" s="27"/>
      <c r="C50" s="29">
        <v>10</v>
      </c>
      <c r="D50" s="28">
        <f t="shared" si="4"/>
        <v>0</v>
      </c>
    </row>
    <row r="51" spans="1:4" ht="34.5" x14ac:dyDescent="0.25">
      <c r="A51" s="33" t="s">
        <v>85</v>
      </c>
      <c r="B51" s="27"/>
      <c r="C51" s="29">
        <v>10</v>
      </c>
      <c r="D51" s="28">
        <f t="shared" si="4"/>
        <v>0</v>
      </c>
    </row>
    <row r="52" spans="1:4" ht="34.5" x14ac:dyDescent="0.25">
      <c r="A52" s="33" t="s">
        <v>86</v>
      </c>
      <c r="B52" s="27"/>
      <c r="C52" s="29">
        <v>10</v>
      </c>
      <c r="D52" s="28">
        <f t="shared" si="4"/>
        <v>0</v>
      </c>
    </row>
    <row r="53" spans="1:4" ht="34.5" x14ac:dyDescent="0.25">
      <c r="A53" s="33" t="s">
        <v>87</v>
      </c>
      <c r="B53" s="27"/>
      <c r="C53" s="29">
        <v>10</v>
      </c>
      <c r="D53" s="28">
        <f t="shared" si="4"/>
        <v>0</v>
      </c>
    </row>
    <row r="54" spans="1:4" ht="23" x14ac:dyDescent="0.25">
      <c r="A54" s="33" t="s">
        <v>88</v>
      </c>
      <c r="B54" s="27"/>
      <c r="C54" s="29">
        <v>5</v>
      </c>
      <c r="D54" s="28">
        <f t="shared" si="4"/>
        <v>0</v>
      </c>
    </row>
    <row r="55" spans="1:4" ht="23" x14ac:dyDescent="0.25">
      <c r="A55" s="33" t="s">
        <v>89</v>
      </c>
      <c r="B55" s="27"/>
      <c r="C55" s="29">
        <v>5</v>
      </c>
      <c r="D55" s="28">
        <f t="shared" si="4"/>
        <v>0</v>
      </c>
    </row>
    <row r="56" spans="1:4" ht="34.5" x14ac:dyDescent="0.25">
      <c r="A56" s="33" t="s">
        <v>90</v>
      </c>
      <c r="B56" s="27"/>
      <c r="C56" s="29">
        <v>7</v>
      </c>
      <c r="D56" s="28">
        <f t="shared" si="4"/>
        <v>0</v>
      </c>
    </row>
    <row r="57" spans="1:4" ht="34.5" x14ac:dyDescent="0.25">
      <c r="A57" s="33" t="s">
        <v>91</v>
      </c>
      <c r="B57" s="27"/>
      <c r="C57" s="29">
        <v>7</v>
      </c>
      <c r="D57" s="28">
        <f t="shared" si="4"/>
        <v>0</v>
      </c>
    </row>
    <row r="58" spans="1:4" ht="34.5" x14ac:dyDescent="0.25">
      <c r="A58" s="33" t="s">
        <v>92</v>
      </c>
      <c r="B58" s="27"/>
      <c r="C58" s="29">
        <v>7</v>
      </c>
      <c r="D58" s="28">
        <f t="shared" si="4"/>
        <v>0</v>
      </c>
    </row>
    <row r="59" spans="1:4" ht="34.5" x14ac:dyDescent="0.25">
      <c r="A59" s="33" t="s">
        <v>93</v>
      </c>
      <c r="B59" s="27"/>
      <c r="C59" s="29">
        <v>7</v>
      </c>
      <c r="D59" s="28">
        <f t="shared" si="4"/>
        <v>0</v>
      </c>
    </row>
    <row r="60" spans="1:4" ht="23" x14ac:dyDescent="0.25">
      <c r="A60" s="34" t="s">
        <v>94</v>
      </c>
      <c r="B60" s="35"/>
      <c r="C60" s="36">
        <v>10</v>
      </c>
      <c r="D60" s="37">
        <f t="shared" si="4"/>
        <v>0</v>
      </c>
    </row>
    <row r="61" spans="1:4" ht="34.5" x14ac:dyDescent="0.25">
      <c r="A61" s="33" t="s">
        <v>95</v>
      </c>
      <c r="B61" s="24"/>
      <c r="C61" s="21">
        <v>10</v>
      </c>
      <c r="D61" s="25">
        <f t="shared" si="4"/>
        <v>0</v>
      </c>
    </row>
    <row r="62" spans="1:4" ht="23" x14ac:dyDescent="0.25">
      <c r="A62" s="33" t="s">
        <v>96</v>
      </c>
      <c r="B62" s="24"/>
      <c r="C62" s="21">
        <v>10</v>
      </c>
      <c r="D62" s="25">
        <f t="shared" si="4"/>
        <v>0</v>
      </c>
    </row>
    <row r="63" spans="1:4" ht="34.5" x14ac:dyDescent="0.25">
      <c r="A63" s="33" t="s">
        <v>97</v>
      </c>
      <c r="B63" s="24"/>
      <c r="C63" s="21">
        <v>10</v>
      </c>
      <c r="D63" s="25">
        <f t="shared" si="4"/>
        <v>0</v>
      </c>
    </row>
    <row r="64" spans="1:4" ht="34.5" x14ac:dyDescent="0.25">
      <c r="A64" s="33" t="s">
        <v>98</v>
      </c>
      <c r="B64" s="24"/>
      <c r="C64" s="21">
        <v>10</v>
      </c>
      <c r="D64" s="25">
        <f t="shared" si="4"/>
        <v>0</v>
      </c>
    </row>
    <row r="65" spans="1:4" ht="34.5" x14ac:dyDescent="0.25">
      <c r="A65" s="33" t="s">
        <v>99</v>
      </c>
      <c r="B65" s="24"/>
      <c r="C65" s="21">
        <v>10</v>
      </c>
      <c r="D65" s="25">
        <f t="shared" si="4"/>
        <v>0</v>
      </c>
    </row>
    <row r="66" spans="1:4" ht="28" customHeight="1" x14ac:dyDescent="0.25">
      <c r="A66" s="33" t="s">
        <v>100</v>
      </c>
      <c r="B66" s="24"/>
      <c r="C66" s="21">
        <v>10</v>
      </c>
      <c r="D66" s="25">
        <f t="shared" si="4"/>
        <v>0</v>
      </c>
    </row>
    <row r="67" spans="1:4" ht="23" x14ac:dyDescent="0.25">
      <c r="A67" s="33" t="s">
        <v>101</v>
      </c>
      <c r="B67" s="24"/>
      <c r="C67" s="21">
        <v>5</v>
      </c>
      <c r="D67" s="25">
        <f t="shared" si="4"/>
        <v>0</v>
      </c>
    </row>
    <row r="68" spans="1:4" ht="23" x14ac:dyDescent="0.25">
      <c r="A68" s="33" t="s">
        <v>102</v>
      </c>
      <c r="B68" s="24"/>
      <c r="C68" s="21">
        <v>5</v>
      </c>
      <c r="D68" s="25">
        <f t="shared" si="4"/>
        <v>0</v>
      </c>
    </row>
    <row r="69" spans="1:4" ht="23" x14ac:dyDescent="0.25">
      <c r="A69" s="33" t="s">
        <v>103</v>
      </c>
      <c r="B69" s="24"/>
      <c r="C69" s="21">
        <v>5</v>
      </c>
      <c r="D69" s="25">
        <f t="shared" si="4"/>
        <v>0</v>
      </c>
    </row>
    <row r="70" spans="1:4" ht="23" x14ac:dyDescent="0.25">
      <c r="A70" s="33" t="s">
        <v>104</v>
      </c>
      <c r="B70" s="24"/>
      <c r="C70" s="21">
        <v>15</v>
      </c>
      <c r="D70" s="25">
        <f>C70*B70/100%</f>
        <v>0</v>
      </c>
    </row>
    <row r="73" spans="1:4" x14ac:dyDescent="0.25">
      <c r="A73" s="30" t="s">
        <v>105</v>
      </c>
      <c r="B73" s="30"/>
      <c r="C73" s="30"/>
      <c r="D73" s="30"/>
    </row>
    <row r="74" spans="1:4" ht="34.5" x14ac:dyDescent="0.25">
      <c r="A74" s="31" t="s">
        <v>41</v>
      </c>
      <c r="B74" s="31" t="s">
        <v>42</v>
      </c>
      <c r="C74" s="32" t="s">
        <v>43</v>
      </c>
      <c r="D74" s="26" t="s">
        <v>44</v>
      </c>
    </row>
    <row r="75" spans="1:4" ht="23" x14ac:dyDescent="0.25">
      <c r="A75" s="33" t="s">
        <v>106</v>
      </c>
      <c r="B75" s="24"/>
      <c r="C75" s="21">
        <v>20</v>
      </c>
      <c r="D75" s="25">
        <f>C75*B75/100%</f>
        <v>0</v>
      </c>
    </row>
    <row r="76" spans="1:4" ht="23" x14ac:dyDescent="0.25">
      <c r="A76" s="33" t="s">
        <v>107</v>
      </c>
      <c r="B76" s="24"/>
      <c r="C76" s="21">
        <v>15</v>
      </c>
      <c r="D76" s="25">
        <f t="shared" ref="D76:D80" si="5">C76*B76/100%</f>
        <v>0</v>
      </c>
    </row>
    <row r="77" spans="1:4" ht="23" x14ac:dyDescent="0.25">
      <c r="A77" s="33" t="s">
        <v>108</v>
      </c>
      <c r="B77" s="24"/>
      <c r="C77" s="21">
        <v>15</v>
      </c>
      <c r="D77" s="25">
        <f t="shared" si="5"/>
        <v>0</v>
      </c>
    </row>
    <row r="78" spans="1:4" ht="23" x14ac:dyDescent="0.25">
      <c r="A78" s="33" t="s">
        <v>109</v>
      </c>
      <c r="B78" s="24"/>
      <c r="C78" s="21">
        <v>15</v>
      </c>
      <c r="D78" s="25">
        <f t="shared" si="5"/>
        <v>0</v>
      </c>
    </row>
    <row r="79" spans="1:4" x14ac:dyDescent="0.25">
      <c r="A79" s="33" t="s">
        <v>110</v>
      </c>
      <c r="B79" s="24"/>
      <c r="C79" s="21">
        <v>15</v>
      </c>
      <c r="D79" s="25">
        <f t="shared" si="5"/>
        <v>0</v>
      </c>
    </row>
    <row r="80" spans="1:4" ht="23" x14ac:dyDescent="0.25">
      <c r="A80" s="33" t="s">
        <v>111</v>
      </c>
      <c r="B80" s="24"/>
      <c r="C80" s="21">
        <v>20</v>
      </c>
      <c r="D80" s="25">
        <f t="shared" si="5"/>
        <v>0</v>
      </c>
    </row>
    <row r="83" spans="1:4" x14ac:dyDescent="0.25">
      <c r="A83" s="30" t="s">
        <v>115</v>
      </c>
      <c r="B83" s="30"/>
      <c r="C83" s="30"/>
      <c r="D83" s="30"/>
    </row>
    <row r="84" spans="1:4" ht="34.5" x14ac:dyDescent="0.25">
      <c r="A84" s="31" t="s">
        <v>41</v>
      </c>
      <c r="B84" s="31" t="s">
        <v>42</v>
      </c>
      <c r="C84" s="32" t="s">
        <v>43</v>
      </c>
      <c r="D84" s="26" t="s">
        <v>44</v>
      </c>
    </row>
    <row r="85" spans="1:4" ht="23" x14ac:dyDescent="0.25">
      <c r="A85" s="33" t="s">
        <v>116</v>
      </c>
      <c r="B85" s="24"/>
      <c r="C85" s="21">
        <v>25</v>
      </c>
      <c r="D85" s="25">
        <f>C85*B85/100%</f>
        <v>0</v>
      </c>
    </row>
    <row r="86" spans="1:4" ht="23" x14ac:dyDescent="0.25">
      <c r="A86" s="33" t="s">
        <v>117</v>
      </c>
      <c r="B86" s="24"/>
      <c r="C86" s="21">
        <v>25</v>
      </c>
      <c r="D86" s="25">
        <f t="shared" ref="D86:D96" si="6">C86*B86/100%</f>
        <v>0</v>
      </c>
    </row>
    <row r="87" spans="1:4" ht="23" x14ac:dyDescent="0.25">
      <c r="A87" s="33" t="s">
        <v>118</v>
      </c>
      <c r="B87" s="27"/>
      <c r="C87" s="29">
        <v>5</v>
      </c>
      <c r="D87" s="28">
        <f t="shared" si="6"/>
        <v>0</v>
      </c>
    </row>
    <row r="88" spans="1:4" ht="23" x14ac:dyDescent="0.25">
      <c r="A88" s="33" t="s">
        <v>119</v>
      </c>
      <c r="B88" s="27"/>
      <c r="C88" s="29">
        <v>5</v>
      </c>
      <c r="D88" s="28">
        <f t="shared" si="6"/>
        <v>0</v>
      </c>
    </row>
    <row r="89" spans="1:4" ht="23" x14ac:dyDescent="0.25">
      <c r="A89" s="33" t="s">
        <v>120</v>
      </c>
      <c r="B89" s="27"/>
      <c r="C89" s="29">
        <v>5</v>
      </c>
      <c r="D89" s="28">
        <f t="shared" si="6"/>
        <v>0</v>
      </c>
    </row>
    <row r="90" spans="1:4" ht="23" x14ac:dyDescent="0.25">
      <c r="A90" s="33" t="s">
        <v>121</v>
      </c>
      <c r="B90" s="27"/>
      <c r="C90" s="29">
        <v>5</v>
      </c>
      <c r="D90" s="28">
        <f t="shared" si="6"/>
        <v>0</v>
      </c>
    </row>
    <row r="91" spans="1:4" ht="23" x14ac:dyDescent="0.25">
      <c r="A91" s="33" t="s">
        <v>122</v>
      </c>
      <c r="B91" s="27"/>
      <c r="C91" s="29">
        <v>5</v>
      </c>
      <c r="D91" s="28">
        <f t="shared" si="6"/>
        <v>0</v>
      </c>
    </row>
    <row r="92" spans="1:4" ht="23" x14ac:dyDescent="0.25">
      <c r="A92" s="33" t="s">
        <v>123</v>
      </c>
      <c r="B92" s="27"/>
      <c r="C92" s="29">
        <v>5</v>
      </c>
      <c r="D92" s="28">
        <f t="shared" si="6"/>
        <v>0</v>
      </c>
    </row>
    <row r="93" spans="1:4" ht="34.5" x14ac:dyDescent="0.25">
      <c r="A93" s="33" t="s">
        <v>124</v>
      </c>
      <c r="B93" s="27"/>
      <c r="C93" s="29">
        <v>5</v>
      </c>
      <c r="D93" s="28">
        <f t="shared" si="6"/>
        <v>0</v>
      </c>
    </row>
    <row r="94" spans="1:4" ht="23" x14ac:dyDescent="0.25">
      <c r="A94" s="33" t="s">
        <v>125</v>
      </c>
      <c r="B94" s="27"/>
      <c r="C94" s="29">
        <v>5</v>
      </c>
      <c r="D94" s="28">
        <f t="shared" si="6"/>
        <v>0</v>
      </c>
    </row>
    <row r="95" spans="1:4" ht="23" x14ac:dyDescent="0.25">
      <c r="A95" s="33" t="s">
        <v>126</v>
      </c>
      <c r="B95" s="27"/>
      <c r="C95" s="29">
        <v>5</v>
      </c>
      <c r="D95" s="28">
        <f t="shared" si="6"/>
        <v>0</v>
      </c>
    </row>
    <row r="96" spans="1:4" ht="23" x14ac:dyDescent="0.25">
      <c r="A96" s="33" t="s">
        <v>127</v>
      </c>
      <c r="B96" s="27"/>
      <c r="C96" s="29">
        <v>5</v>
      </c>
      <c r="D96" s="28">
        <f t="shared" si="6"/>
        <v>0</v>
      </c>
    </row>
  </sheetData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"/>
  <sheetViews>
    <sheetView zoomScale="60" zoomScaleNormal="60" workbookViewId="0"/>
  </sheetViews>
  <sheetFormatPr defaultRowHeight="12.5" x14ac:dyDescent="0.25"/>
  <cols>
    <col min="1" max="7" width="13.81640625" style="1" customWidth="1"/>
    <col min="8" max="9" width="6.54296875" style="1" customWidth="1"/>
    <col min="10" max="10" width="13.81640625" style="1" customWidth="1"/>
    <col min="11" max="11" width="6.54296875" style="1" customWidth="1"/>
    <col min="12" max="12" width="13.81640625" style="1" customWidth="1"/>
    <col min="13" max="13" width="6.54296875" style="1" customWidth="1"/>
    <col min="14" max="14" width="13.81640625" style="1" customWidth="1"/>
    <col min="15" max="15" width="6.54296875" style="1" customWidth="1"/>
    <col min="16" max="16" width="13.81640625" style="1" customWidth="1"/>
    <col min="17" max="17" width="6.54296875" style="1" customWidth="1"/>
    <col min="18" max="18" width="13.81640625" style="1" customWidth="1"/>
    <col min="19" max="19" width="6.54296875" style="1" customWidth="1"/>
    <col min="20" max="20" width="13.81640625" style="1" customWidth="1"/>
    <col min="21" max="21" width="6.54296875" style="1" customWidth="1"/>
    <col min="22" max="22" width="13.81640625" style="1" customWidth="1"/>
    <col min="23" max="23" width="6.54296875" style="1" customWidth="1"/>
    <col min="24" max="24" width="13.81640625" style="1" customWidth="1"/>
    <col min="25" max="25" width="6.54296875" style="1" customWidth="1"/>
    <col min="26" max="26" width="13.81640625" style="1" customWidth="1"/>
    <col min="27" max="27" width="6.54296875" style="1" customWidth="1"/>
    <col min="28" max="28" width="13.81640625" style="1" customWidth="1"/>
    <col min="29" max="29" width="6.54296875" style="1" customWidth="1"/>
    <col min="30" max="30" width="13.81640625" style="1" customWidth="1"/>
    <col min="31" max="31" width="6.54296875" style="1" customWidth="1"/>
    <col min="32" max="42" width="8.7265625" style="1"/>
  </cols>
  <sheetData>
    <row r="1" spans="1:42" ht="16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3" t="s">
        <v>9</v>
      </c>
      <c r="K1" s="5" t="s">
        <v>10</v>
      </c>
      <c r="L1" s="3" t="s">
        <v>11</v>
      </c>
      <c r="M1" s="5" t="s">
        <v>12</v>
      </c>
      <c r="N1" s="3" t="s">
        <v>13</v>
      </c>
      <c r="O1" s="5" t="s">
        <v>14</v>
      </c>
      <c r="P1" s="3" t="s">
        <v>15</v>
      </c>
      <c r="Q1" s="5" t="s">
        <v>16</v>
      </c>
      <c r="R1" s="3" t="s">
        <v>17</v>
      </c>
      <c r="S1" s="5" t="s">
        <v>18</v>
      </c>
      <c r="T1" s="3" t="s">
        <v>19</v>
      </c>
      <c r="U1" s="5" t="s">
        <v>20</v>
      </c>
      <c r="V1" s="3" t="s">
        <v>21</v>
      </c>
      <c r="W1" s="5" t="s">
        <v>22</v>
      </c>
      <c r="X1" s="3" t="s">
        <v>23</v>
      </c>
      <c r="Y1" s="5" t="s">
        <v>24</v>
      </c>
      <c r="Z1" s="3" t="s">
        <v>25</v>
      </c>
      <c r="AA1" s="5" t="s">
        <v>26</v>
      </c>
      <c r="AB1" s="3" t="s">
        <v>27</v>
      </c>
      <c r="AC1" s="5" t="s">
        <v>28</v>
      </c>
      <c r="AD1" s="3" t="s">
        <v>29</v>
      </c>
      <c r="AE1" s="5" t="s">
        <v>30</v>
      </c>
      <c r="AI1"/>
      <c r="AJ1"/>
      <c r="AK1"/>
      <c r="AL1"/>
      <c r="AM1"/>
      <c r="AN1"/>
      <c r="AO1"/>
      <c r="AP1"/>
    </row>
    <row r="2" spans="1:42" x14ac:dyDescent="0.25">
      <c r="A2" s="7">
        <v>100</v>
      </c>
      <c r="B2" s="7">
        <v>125</v>
      </c>
      <c r="C2" s="7">
        <v>150</v>
      </c>
      <c r="D2" s="7">
        <v>125</v>
      </c>
      <c r="E2" s="7">
        <v>150</v>
      </c>
      <c r="F2" s="7">
        <v>100</v>
      </c>
      <c r="G2" s="7">
        <v>125</v>
      </c>
      <c r="H2" s="8"/>
      <c r="I2" s="8"/>
      <c r="J2" s="9">
        <v>150</v>
      </c>
      <c r="K2" s="8"/>
      <c r="L2" s="9">
        <v>125</v>
      </c>
      <c r="M2" s="8"/>
      <c r="N2" s="9" t="s">
        <v>52</v>
      </c>
      <c r="O2" s="8"/>
      <c r="P2" s="9">
        <v>150</v>
      </c>
      <c r="Q2" s="8"/>
      <c r="R2" s="9" t="s">
        <v>52</v>
      </c>
      <c r="S2" s="8"/>
      <c r="T2" s="9">
        <v>125</v>
      </c>
      <c r="U2" s="8"/>
      <c r="V2" s="9" t="s">
        <v>52</v>
      </c>
      <c r="W2" s="8"/>
      <c r="X2" s="9">
        <v>150</v>
      </c>
      <c r="Y2" s="8"/>
      <c r="Z2" s="9">
        <v>125</v>
      </c>
      <c r="AA2" s="8"/>
      <c r="AB2" s="9">
        <v>150</v>
      </c>
      <c r="AC2" s="8"/>
      <c r="AD2" s="9">
        <v>125</v>
      </c>
      <c r="AE2" s="5"/>
      <c r="AI2"/>
      <c r="AJ2"/>
      <c r="AK2"/>
      <c r="AL2"/>
      <c r="AM2"/>
      <c r="AN2"/>
      <c r="AO2"/>
      <c r="AP2"/>
    </row>
    <row r="3" spans="1:42" ht="48.5" customHeight="1" x14ac:dyDescent="0.25">
      <c r="A3" s="7">
        <v>100</v>
      </c>
      <c r="B3" s="7">
        <v>90</v>
      </c>
      <c r="C3" s="7">
        <v>100</v>
      </c>
      <c r="D3" s="7">
        <v>100</v>
      </c>
      <c r="E3" s="7">
        <v>90</v>
      </c>
      <c r="F3" s="7">
        <v>100</v>
      </c>
      <c r="G3" s="7">
        <v>100</v>
      </c>
      <c r="H3" s="8" t="s">
        <v>35</v>
      </c>
      <c r="I3" s="8"/>
      <c r="J3" s="9" t="s">
        <v>52</v>
      </c>
      <c r="K3" s="8"/>
      <c r="L3" s="9" t="s">
        <v>52</v>
      </c>
      <c r="M3" s="8"/>
      <c r="N3" s="9">
        <v>125</v>
      </c>
      <c r="O3" s="8"/>
      <c r="P3" s="9">
        <v>125</v>
      </c>
      <c r="Q3" s="8"/>
      <c r="R3" s="9">
        <v>75</v>
      </c>
      <c r="S3" s="8"/>
      <c r="T3" s="9">
        <v>125</v>
      </c>
      <c r="U3" s="8"/>
      <c r="V3" s="9" t="s">
        <v>52</v>
      </c>
      <c r="W3" s="8"/>
      <c r="X3" s="9">
        <v>0</v>
      </c>
      <c r="Y3" s="8"/>
      <c r="Z3" s="9" t="s">
        <v>52</v>
      </c>
      <c r="AA3" s="8"/>
      <c r="AB3" s="9">
        <v>90</v>
      </c>
      <c r="AC3" s="8"/>
      <c r="AD3" s="9">
        <v>75</v>
      </c>
      <c r="AE3" s="5"/>
      <c r="AI3"/>
      <c r="AJ3"/>
      <c r="AK3"/>
      <c r="AL3"/>
      <c r="AM3"/>
      <c r="AN3"/>
      <c r="AO3"/>
      <c r="AP3"/>
    </row>
    <row r="4" spans="1:42" x14ac:dyDescent="0.25">
      <c r="A4" s="7">
        <v>150</v>
      </c>
      <c r="B4" s="7">
        <v>150</v>
      </c>
      <c r="C4" s="7">
        <v>150</v>
      </c>
      <c r="D4" s="7">
        <v>150</v>
      </c>
      <c r="E4" s="7">
        <v>150</v>
      </c>
      <c r="F4" s="7">
        <v>150</v>
      </c>
      <c r="G4" s="7">
        <v>150</v>
      </c>
      <c r="H4" s="8"/>
      <c r="I4" s="8"/>
      <c r="J4" s="9">
        <v>150</v>
      </c>
      <c r="K4" s="8"/>
      <c r="L4" s="9">
        <v>150</v>
      </c>
      <c r="M4" s="8"/>
      <c r="N4" s="9">
        <v>150</v>
      </c>
      <c r="O4" s="8"/>
      <c r="P4" s="9">
        <v>150</v>
      </c>
      <c r="Q4" s="8"/>
      <c r="R4" s="9">
        <v>150</v>
      </c>
      <c r="S4" s="8"/>
      <c r="T4" s="9">
        <v>150</v>
      </c>
      <c r="U4" s="8"/>
      <c r="V4" s="9">
        <v>150</v>
      </c>
      <c r="W4" s="8"/>
      <c r="X4" s="9">
        <v>150</v>
      </c>
      <c r="Y4" s="8"/>
      <c r="Z4" s="9">
        <v>150</v>
      </c>
      <c r="AA4" s="8"/>
      <c r="AB4" s="9">
        <v>150</v>
      </c>
      <c r="AC4" s="8"/>
      <c r="AD4" s="9">
        <v>150</v>
      </c>
      <c r="AE4" s="5"/>
      <c r="AI4"/>
      <c r="AJ4"/>
      <c r="AK4"/>
      <c r="AL4"/>
      <c r="AM4"/>
      <c r="AN4"/>
      <c r="AO4"/>
      <c r="AP4"/>
    </row>
    <row r="5" spans="1:42" x14ac:dyDescent="0.25">
      <c r="A5" s="7">
        <v>125</v>
      </c>
      <c r="B5" s="7">
        <v>125</v>
      </c>
      <c r="C5" s="7">
        <v>150</v>
      </c>
      <c r="D5" s="7">
        <v>125</v>
      </c>
      <c r="E5" s="7">
        <v>125</v>
      </c>
      <c r="F5" s="7">
        <v>125</v>
      </c>
      <c r="G5" s="7">
        <v>150</v>
      </c>
      <c r="H5" s="8"/>
      <c r="I5" s="8"/>
      <c r="J5" s="9" t="s">
        <v>52</v>
      </c>
      <c r="K5" s="8"/>
      <c r="L5" s="9" t="s">
        <v>52</v>
      </c>
      <c r="M5" s="8"/>
      <c r="N5" s="9">
        <v>125</v>
      </c>
      <c r="O5" s="8"/>
      <c r="P5" s="9">
        <v>150</v>
      </c>
      <c r="Q5" s="8"/>
      <c r="R5" s="9">
        <v>100</v>
      </c>
      <c r="S5" s="8"/>
      <c r="T5" s="9">
        <v>150</v>
      </c>
      <c r="U5" s="8"/>
      <c r="V5" s="9" t="s">
        <v>52</v>
      </c>
      <c r="W5" s="8"/>
      <c r="X5" s="9" t="s">
        <v>52</v>
      </c>
      <c r="Y5" s="8"/>
      <c r="Z5" s="9" t="s">
        <v>52</v>
      </c>
      <c r="AA5" s="8"/>
      <c r="AB5" s="9">
        <v>150</v>
      </c>
      <c r="AC5" s="8"/>
      <c r="AD5" s="9">
        <v>100</v>
      </c>
      <c r="AE5" s="5"/>
      <c r="AI5"/>
      <c r="AJ5"/>
      <c r="AK5"/>
      <c r="AL5"/>
      <c r="AM5"/>
      <c r="AN5"/>
      <c r="AO5"/>
      <c r="AP5"/>
    </row>
    <row r="6" spans="1:42" x14ac:dyDescent="0.25">
      <c r="A6" s="7">
        <v>100</v>
      </c>
      <c r="B6" s="7">
        <v>90</v>
      </c>
      <c r="C6" s="7">
        <v>100</v>
      </c>
      <c r="D6" s="7">
        <v>90</v>
      </c>
      <c r="E6" s="7">
        <v>100</v>
      </c>
      <c r="F6" s="7">
        <v>100</v>
      </c>
      <c r="G6" s="7">
        <v>100</v>
      </c>
      <c r="H6" s="8"/>
      <c r="I6" s="8"/>
      <c r="J6" s="9" t="s">
        <v>52</v>
      </c>
      <c r="K6" s="8"/>
      <c r="L6" s="9" t="s">
        <v>52</v>
      </c>
      <c r="M6" s="8"/>
      <c r="N6" s="9">
        <v>150</v>
      </c>
      <c r="O6" s="8"/>
      <c r="P6" s="9">
        <v>125</v>
      </c>
      <c r="Q6" s="8"/>
      <c r="R6" s="9" t="s">
        <v>52</v>
      </c>
      <c r="S6" s="8"/>
      <c r="T6" s="9">
        <v>125</v>
      </c>
      <c r="U6" s="8"/>
      <c r="V6" s="9" t="s">
        <v>52</v>
      </c>
      <c r="W6" s="8"/>
      <c r="X6" s="9" t="s">
        <v>52</v>
      </c>
      <c r="Y6" s="8"/>
      <c r="Z6" s="9">
        <v>125</v>
      </c>
      <c r="AA6" s="8"/>
      <c r="AB6" s="9">
        <v>125</v>
      </c>
      <c r="AC6" s="8"/>
      <c r="AD6" s="9" t="s">
        <v>52</v>
      </c>
      <c r="AE6" s="5"/>
      <c r="AI6"/>
      <c r="AJ6"/>
      <c r="AK6"/>
      <c r="AL6"/>
      <c r="AM6"/>
      <c r="AN6"/>
      <c r="AO6"/>
      <c r="AP6"/>
    </row>
    <row r="7" spans="1:42" x14ac:dyDescent="0.25">
      <c r="A7" s="7">
        <v>100</v>
      </c>
      <c r="B7" s="7">
        <v>100</v>
      </c>
      <c r="C7" s="7">
        <v>100</v>
      </c>
      <c r="D7" s="7">
        <v>100</v>
      </c>
      <c r="E7" s="7">
        <v>100</v>
      </c>
      <c r="F7" s="7">
        <v>100</v>
      </c>
      <c r="G7" s="7">
        <v>100</v>
      </c>
      <c r="H7" s="8" t="s">
        <v>38</v>
      </c>
      <c r="I7" s="8" t="s">
        <v>38</v>
      </c>
      <c r="J7" s="9">
        <v>150</v>
      </c>
      <c r="K7" s="8"/>
      <c r="L7" s="9">
        <v>100</v>
      </c>
      <c r="M7" s="8"/>
      <c r="N7" s="9">
        <v>150</v>
      </c>
      <c r="O7" s="8"/>
      <c r="P7" s="9">
        <v>125</v>
      </c>
      <c r="Q7" s="8"/>
      <c r="R7" s="9">
        <v>90</v>
      </c>
      <c r="S7" s="8"/>
      <c r="T7" s="9">
        <v>125</v>
      </c>
      <c r="U7" s="8"/>
      <c r="V7" s="9">
        <v>100</v>
      </c>
      <c r="W7" s="8"/>
      <c r="X7" s="9">
        <v>90</v>
      </c>
      <c r="Y7" s="8"/>
      <c r="Z7" s="9">
        <v>125</v>
      </c>
      <c r="AA7" s="8"/>
      <c r="AB7" s="9" t="s">
        <v>52</v>
      </c>
      <c r="AC7" s="8"/>
      <c r="AD7" s="9">
        <v>90</v>
      </c>
      <c r="AE7" s="5"/>
      <c r="AI7"/>
      <c r="AJ7"/>
      <c r="AK7"/>
      <c r="AL7"/>
      <c r="AM7"/>
      <c r="AN7"/>
      <c r="AO7"/>
      <c r="AP7"/>
    </row>
    <row r="8" spans="1:42" x14ac:dyDescent="0.25">
      <c r="A8" s="6">
        <f>AVERAGE(A2:A7)</f>
        <v>112.5</v>
      </c>
      <c r="B8" s="6">
        <f t="shared" ref="B8:C8" si="0">AVERAGE(B2:B7)</f>
        <v>113.33333333333333</v>
      </c>
      <c r="C8" s="6">
        <f t="shared" si="0"/>
        <v>125</v>
      </c>
      <c r="D8" s="6">
        <f t="shared" ref="D8" si="1">AVERAGE(D2:D7)</f>
        <v>115</v>
      </c>
      <c r="E8" s="6">
        <f t="shared" ref="E8" si="2">AVERAGE(E2:E7)</f>
        <v>119.16666666666667</v>
      </c>
      <c r="F8" s="6">
        <f t="shared" ref="F8" si="3">AVERAGE(F2:F7)</f>
        <v>112.5</v>
      </c>
      <c r="G8" s="6">
        <f t="shared" ref="G8" si="4">AVERAGE(G2:G7)</f>
        <v>120.83333333333333</v>
      </c>
      <c r="H8" s="6"/>
      <c r="I8" s="6"/>
      <c r="J8" s="6">
        <f t="shared" ref="J8" si="5">AVERAGE(J2:J7)</f>
        <v>150</v>
      </c>
      <c r="K8" s="6"/>
      <c r="L8" s="6">
        <f t="shared" ref="L8" si="6">AVERAGE(L2:L7)</f>
        <v>125</v>
      </c>
      <c r="M8" s="6"/>
      <c r="N8" s="6">
        <f t="shared" ref="N8" si="7">AVERAGE(N2:N7)</f>
        <v>140</v>
      </c>
      <c r="O8" s="6"/>
      <c r="P8" s="6">
        <f t="shared" ref="P8" si="8">AVERAGE(P2:P7)</f>
        <v>137.5</v>
      </c>
      <c r="Q8" s="6"/>
      <c r="R8" s="6">
        <f t="shared" ref="R8" si="9">AVERAGE(R2:R7)</f>
        <v>103.75</v>
      </c>
      <c r="S8" s="6"/>
      <c r="T8" s="6">
        <f t="shared" ref="T8" si="10">AVERAGE(T2:T7)</f>
        <v>133.33333333333334</v>
      </c>
      <c r="U8" s="6"/>
      <c r="V8" s="6">
        <f t="shared" ref="V8" si="11">AVERAGE(V2:V7)</f>
        <v>125</v>
      </c>
      <c r="W8" s="6"/>
      <c r="X8" s="6">
        <f t="shared" ref="X8" si="12">AVERAGE(X2:X7)</f>
        <v>97.5</v>
      </c>
      <c r="Y8" s="6"/>
      <c r="Z8" s="6">
        <f t="shared" ref="Z8" si="13">AVERAGE(Z2:Z7)</f>
        <v>131.25</v>
      </c>
      <c r="AA8" s="6"/>
      <c r="AB8" s="6">
        <f t="shared" ref="AB8" si="14">AVERAGE(AB2:AB7)</f>
        <v>133</v>
      </c>
      <c r="AC8" s="6"/>
      <c r="AD8" s="6">
        <f t="shared" ref="AD8" si="15">AVERAGE(AD2:AD7)</f>
        <v>108</v>
      </c>
      <c r="AE8" s="6"/>
    </row>
    <row r="14" spans="1:42" ht="37.5" x14ac:dyDescent="0.25">
      <c r="A14" s="11" t="s">
        <v>40</v>
      </c>
      <c r="B14" s="4" t="s">
        <v>41</v>
      </c>
      <c r="C14" s="4" t="s">
        <v>53</v>
      </c>
      <c r="D14" s="12" t="s">
        <v>43</v>
      </c>
      <c r="E14" s="11" t="s">
        <v>44</v>
      </c>
    </row>
    <row r="15" spans="1:42" ht="30" x14ac:dyDescent="0.25">
      <c r="A15" s="12">
        <v>1</v>
      </c>
      <c r="B15" s="13" t="s">
        <v>47</v>
      </c>
      <c r="C15" s="14">
        <v>1.125</v>
      </c>
      <c r="D15" s="12">
        <v>25</v>
      </c>
      <c r="E15" s="15">
        <f t="shared" ref="E15:E21" si="16">D15*C15/100%</f>
        <v>28.125</v>
      </c>
    </row>
    <row r="16" spans="1:42" ht="20" x14ac:dyDescent="0.25">
      <c r="A16" s="12">
        <v>2</v>
      </c>
      <c r="B16" s="13" t="s">
        <v>48</v>
      </c>
      <c r="C16" s="14">
        <v>1.1299999999999999</v>
      </c>
      <c r="D16" s="12">
        <v>25</v>
      </c>
      <c r="E16" s="15">
        <f t="shared" si="16"/>
        <v>28.249999999999996</v>
      </c>
    </row>
    <row r="17" spans="1:5" ht="40" x14ac:dyDescent="0.25">
      <c r="A17" s="12">
        <v>3</v>
      </c>
      <c r="B17" s="13" t="s">
        <v>49</v>
      </c>
      <c r="C17" s="14">
        <v>1.25</v>
      </c>
      <c r="D17" s="12">
        <v>10</v>
      </c>
      <c r="E17" s="15">
        <f t="shared" si="16"/>
        <v>12.5</v>
      </c>
    </row>
    <row r="18" spans="1:5" ht="40" x14ac:dyDescent="0.25">
      <c r="A18" s="12">
        <v>4</v>
      </c>
      <c r="B18" s="13" t="s">
        <v>45</v>
      </c>
      <c r="C18" s="14">
        <v>1.1499999999999999</v>
      </c>
      <c r="D18" s="12">
        <v>10</v>
      </c>
      <c r="E18" s="15">
        <f t="shared" si="16"/>
        <v>11.5</v>
      </c>
    </row>
    <row r="19" spans="1:5" ht="40" x14ac:dyDescent="0.25">
      <c r="A19" s="12">
        <v>5</v>
      </c>
      <c r="B19" s="13" t="s">
        <v>46</v>
      </c>
      <c r="C19" s="14">
        <v>1.19</v>
      </c>
      <c r="D19" s="12">
        <v>10</v>
      </c>
      <c r="E19" s="15">
        <f t="shared" si="16"/>
        <v>11.899999999999999</v>
      </c>
    </row>
    <row r="20" spans="1:5" ht="30" x14ac:dyDescent="0.25">
      <c r="A20" s="12">
        <v>6</v>
      </c>
      <c r="B20" s="13" t="s">
        <v>51</v>
      </c>
      <c r="C20" s="14">
        <v>1.125</v>
      </c>
      <c r="D20" s="12">
        <v>5</v>
      </c>
      <c r="E20" s="15">
        <f t="shared" si="16"/>
        <v>5.625</v>
      </c>
    </row>
    <row r="21" spans="1:5" ht="40" x14ac:dyDescent="0.25">
      <c r="A21" s="12">
        <v>7</v>
      </c>
      <c r="B21" s="13" t="s">
        <v>50</v>
      </c>
      <c r="C21" s="14">
        <v>1.208</v>
      </c>
      <c r="D21" s="12">
        <v>15</v>
      </c>
      <c r="E21" s="15">
        <f t="shared" si="16"/>
        <v>18.12</v>
      </c>
    </row>
    <row r="22" spans="1:5" x14ac:dyDescent="0.25">
      <c r="E22" s="10">
        <f>SUM(E15:E21)</f>
        <v>116.02000000000001</v>
      </c>
    </row>
  </sheetData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0</vt:lpstr>
      <vt:lpstr>Расчет_пример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Пронских Александра Евгеньевна</dc:creator>
  <dc:description/>
  <cp:lastModifiedBy>Пронских Александра Евгеньевна</cp:lastModifiedBy>
  <cp:revision>0</cp:revision>
  <dcterms:created xsi:type="dcterms:W3CDTF">2024-11-18T12:48:47Z</dcterms:created>
  <dcterms:modified xsi:type="dcterms:W3CDTF">2024-12-05T11:38:22Z</dcterms:modified>
</cp:coreProperties>
</file>